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mc:AlternateContent xmlns:mc="http://schemas.openxmlformats.org/markup-compatibility/2006">
    <mc:Choice Requires="x15">
      <x15ac:absPath xmlns:x15ac="http://schemas.microsoft.com/office/spreadsheetml/2010/11/ac" url="/Users/dhairyashah/Documents/Projects /Bank Stress Early Warning System/bank-stress-ews/output/"/>
    </mc:Choice>
  </mc:AlternateContent>
  <xr:revisionPtr revIDLastSave="0" documentId="13_ncr:1_{8DA1DF2F-BF0E-ED48-B779-367D079FDAC6}" xr6:coauthVersionLast="47" xr6:coauthVersionMax="47" xr10:uidLastSave="{00000000-0000-0000-0000-000000000000}"/>
  <bookViews>
    <workbookView xWindow="0" yWindow="660" windowWidth="30240" windowHeight="17380" xr2:uid="{00000000-000D-0000-FFFF-FFFF00000000}"/>
  </bookViews>
  <sheets>
    <sheet name="Model" sheetId="1" r:id="rId1"/>
    <sheet name="Assumption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6" i="1" l="1"/>
  <c r="J16" i="1"/>
  <c r="I16" i="1"/>
  <c r="J15" i="1"/>
  <c r="I15" i="1"/>
  <c r="J14" i="1"/>
  <c r="K14" i="1" s="1"/>
  <c r="I14" i="1"/>
  <c r="J13" i="1"/>
  <c r="K13" i="1" s="1"/>
  <c r="I13" i="1"/>
  <c r="J12" i="1"/>
  <c r="I12" i="1"/>
  <c r="J11" i="1"/>
  <c r="K11" i="1" s="1"/>
  <c r="I11" i="1"/>
  <c r="J10" i="1"/>
  <c r="I10" i="1"/>
  <c r="J9" i="1"/>
  <c r="K9" i="1" s="1"/>
  <c r="I9" i="1"/>
  <c r="J8" i="1"/>
  <c r="I8" i="1"/>
  <c r="K8" i="1" s="1"/>
  <c r="K7" i="1"/>
  <c r="J7" i="1"/>
  <c r="I7" i="1"/>
  <c r="B3" i="1"/>
  <c r="L8" i="1" s="1"/>
  <c r="M8" i="1" s="1"/>
  <c r="N8" i="1" s="1"/>
  <c r="O8" i="1" s="1"/>
  <c r="L16" i="1" l="1"/>
  <c r="M16" i="1" s="1"/>
  <c r="N16" i="1" s="1"/>
  <c r="O16" i="1" s="1"/>
  <c r="Q8" i="1"/>
  <c r="P8" i="1"/>
  <c r="L9" i="1"/>
  <c r="M9" i="1" s="1"/>
  <c r="N9" i="1" s="1"/>
  <c r="O9" i="1" s="1"/>
  <c r="L7" i="1"/>
  <c r="M7" i="1" s="1"/>
  <c r="N7" i="1" s="1"/>
  <c r="O7" i="1" s="1"/>
  <c r="K12" i="1"/>
  <c r="K10" i="1"/>
  <c r="K15" i="1"/>
  <c r="L14" i="1"/>
  <c r="M14" i="1" s="1"/>
  <c r="N14" i="1" s="1"/>
  <c r="O14" i="1" s="1"/>
  <c r="L13" i="1"/>
  <c r="M13" i="1" s="1"/>
  <c r="N13" i="1" s="1"/>
  <c r="O13" i="1" s="1"/>
  <c r="L12" i="1"/>
  <c r="M12" i="1" s="1"/>
  <c r="N12" i="1" s="1"/>
  <c r="O12" i="1" s="1"/>
  <c r="L11" i="1"/>
  <c r="M11" i="1" s="1"/>
  <c r="N11" i="1" s="1"/>
  <c r="O11" i="1" s="1"/>
  <c r="L10" i="1"/>
  <c r="M10" i="1" s="1"/>
  <c r="N10" i="1" s="1"/>
  <c r="O10" i="1" s="1"/>
  <c r="L15" i="1"/>
  <c r="M15" i="1" s="1"/>
  <c r="N15" i="1" s="1"/>
  <c r="O15" i="1" s="1"/>
  <c r="Q16" i="1" l="1"/>
  <c r="P16" i="1"/>
  <c r="P10" i="1"/>
  <c r="Q10" i="1"/>
  <c r="Q15" i="1"/>
  <c r="P15" i="1"/>
  <c r="Q11" i="1"/>
  <c r="P11" i="1"/>
  <c r="P13" i="1"/>
  <c r="Q13" i="1"/>
  <c r="Q9" i="1"/>
  <c r="P9" i="1"/>
  <c r="Q12" i="1"/>
  <c r="P12" i="1"/>
  <c r="Q7" i="1"/>
  <c r="P7" i="1"/>
  <c r="Q14" i="1"/>
  <c r="P14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model</author>
  </authors>
  <commentList>
    <comment ref="B4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>Gov buckets: par bond modified duration at bucket midpoint maturity. Curve: FRED H.15 constant maturity, as of 2026-06-30. Mortgage buckets: assumed effective durations.</t>
        </r>
      </text>
    </comment>
  </commentList>
</comments>
</file>

<file path=xl/sharedStrings.xml><?xml version="1.0" encoding="utf-8"?>
<sst xmlns="http://schemas.openxmlformats.org/spreadsheetml/2006/main" count="98" uniqueCount="70">
  <si>
    <t>Rate Shock Model: Top 10 Watchlist Banks (as of 2026-06-30)</t>
  </si>
  <si>
    <t>Scenario</t>
  </si>
  <si>
    <t>+200bp</t>
  </si>
  <si>
    <t>&lt;- pick a scenario</t>
  </si>
  <si>
    <t>Shock (decimal)</t>
  </si>
  <si>
    <t>All dollar amounts in $ thousands (Call Report units).</t>
  </si>
  <si>
    <t>Rank</t>
  </si>
  <si>
    <t>Bank</t>
  </si>
  <si>
    <t>Tier 1</t>
  </si>
  <si>
    <t>RWA</t>
  </si>
  <si>
    <t>Total assets</t>
  </si>
  <si>
    <t>AOCI opt-out</t>
  </si>
  <si>
    <t>HTM unreal. G/L</t>
  </si>
  <si>
    <t>AFS unreal. G/L</t>
  </si>
  <si>
    <t>Base adj. Tier 1</t>
  </si>
  <si>
    <t>Ratio denominator</t>
  </si>
  <si>
    <t>Base adj. T1 ratio</t>
  </si>
  <si>
    <t>Value change</t>
  </si>
  <si>
    <t>After-tax change</t>
  </si>
  <si>
    <t>Shocked adj. T1</t>
  </si>
  <si>
    <t>Shocked adj. T1 ratio</t>
  </si>
  <si>
    <t>Change (pp)</t>
  </si>
  <si>
    <t>Below threshold?</t>
  </si>
  <si>
    <t>gov_0_3m</t>
  </si>
  <si>
    <t>gov_3_12m</t>
  </si>
  <si>
    <t>gov_1_3y</t>
  </si>
  <si>
    <t>gov_3_5y</t>
  </si>
  <si>
    <t>gov_5_15y</t>
  </si>
  <si>
    <t>gov_15y</t>
  </si>
  <si>
    <t>mbs_0_3m</t>
  </si>
  <si>
    <t>mbs_3_12m</t>
  </si>
  <si>
    <t>mbs_1_3y</t>
  </si>
  <si>
    <t>mbs_3_5y</t>
  </si>
  <si>
    <t>mbs_5_15y</t>
  </si>
  <si>
    <t>mbs_15y</t>
  </si>
  <si>
    <t>cmo_0_3y</t>
  </si>
  <si>
    <t>cmo_3y</t>
  </si>
  <si>
    <t>INWOOD NATIONAL BANK</t>
  </si>
  <si>
    <t>TEXAS REGIONAL BANK</t>
  </si>
  <si>
    <t>SIMMONS BANK</t>
  </si>
  <si>
    <t>NORTH AMERICAN BANKING COMPANY</t>
  </si>
  <si>
    <t>READING CO-OPERATIVE BANK</t>
  </si>
  <si>
    <t>NATIONAL BANK OF INDIANAPOLIS, THE</t>
  </si>
  <si>
    <t>UNION BANK</t>
  </si>
  <si>
    <t>FIRST HAWAIIAN BANK</t>
  </si>
  <si>
    <t>INDEPENDENCE BANK OF KENTUCKY</t>
  </si>
  <si>
    <t>AMERICAN NATIONAL BANK OF TEXAS, THE</t>
  </si>
  <si>
    <t>Notes: Ratio denominator is RWA, or total assets for community bank leverage ratio filers. Base adj. Tier 1 deducts after-tax HTM losses, plus AFS losses for AOCI opt-out banks. Below threshold means under 6% on RWA or under 5% on total assets.</t>
  </si>
  <si>
    <t>Source: FFIEC Call Reports (RC-B, RC-R), FRED Treasury yields. Blue = inputs, black = formulas.</t>
  </si>
  <si>
    <t>Assumptions (blue = input, edit freely)</t>
  </si>
  <si>
    <t>Bucket</t>
  </si>
  <si>
    <t>Duration (yrs)</t>
  </si>
  <si>
    <t>Type</t>
  </si>
  <si>
    <t>Gov/other</t>
  </si>
  <si>
    <t>Mortgage</t>
  </si>
  <si>
    <t>Tax rate</t>
  </si>
  <si>
    <t>MBS down-shock factor</t>
  </si>
  <si>
    <t>Mortgage gains scaled down when rates fall (negative convexity). Assumption.</t>
  </si>
  <si>
    <t>Shock (bp)</t>
  </si>
  <si>
    <t>Base</t>
  </si>
  <si>
    <t>+100bp</t>
  </si>
  <si>
    <t>-100bp</t>
  </si>
  <si>
    <t>Treasury curve used</t>
  </si>
  <si>
    <t>0.25y</t>
  </si>
  <si>
    <t>1y</t>
  </si>
  <si>
    <t>2y</t>
  </si>
  <si>
    <t>5y</t>
  </si>
  <si>
    <t>10y</t>
  </si>
  <si>
    <t>30y</t>
  </si>
  <si>
    <t>Source: FRED H.15 constant maturity, as of 2026-06-30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</si>
</sst>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;\-"/>
    <numFmt numFmtId="165" formatCode="0.0%"/>
    <numFmt numFmtId="166" formatCode="0.0;\(0.0\);\-"/>
  </numFmts>
  <fonts count="10" x14ac:knownFonts="1">
    <font>
      <sz val="11"/>
      <color theme="1"/>
      <name val="Calibri"/>
      <family val="2"/>
      <scheme val="minor"/>
    </font>
    <font>
      <b/>
      <sz val="12"/>
      <name val="Arial"/>
      <family val="2"/>
    </font>
    <font>
      <b/>
      <sz val="11"/>
      <name val="Arial"/>
      <family val="2"/>
    </font>
    <font>
      <sz val="11"/>
      <color rgb="FF0000FF"/>
      <name val="Arial"/>
      <family val="2"/>
    </font>
    <font>
      <sz val="11"/>
      <name val="Arial"/>
      <family val="2"/>
    </font>
    <font>
      <b/>
      <sz val="13"/>
      <name val="Arial"/>
      <family val="2"/>
    </font>
    <font>
      <b/>
      <sz val="11"/>
      <color rgb="FF0000FF"/>
      <name val="Arial"/>
      <family val="2"/>
    </font>
    <font>
      <sz val="11"/>
      <color rgb="FF008000"/>
      <name val="Arial"/>
      <family val="2"/>
    </font>
    <font>
      <b/>
      <sz val="11"/>
      <color rgb="FFFFFFFF"/>
      <name val="Arial"/>
      <family val="2"/>
    </font>
    <font>
      <sz val="11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1F38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BFBFBF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5" fillId="0" borderId="0" xfId="0" applyFont="1"/>
    <xf numFmtId="0" fontId="9" fillId="0" borderId="0" xfId="0" applyFont="1"/>
    <xf numFmtId="0" fontId="6" fillId="2" borderId="0" xfId="0" applyFont="1" applyFill="1"/>
    <xf numFmtId="10" fontId="7" fillId="0" borderId="0" xfId="0" applyNumberFormat="1" applyFont="1"/>
    <xf numFmtId="0" fontId="8" fillId="3" borderId="0" xfId="0" applyFont="1" applyFill="1" applyAlignment="1">
      <alignment horizontal="center" wrapText="1"/>
    </xf>
    <xf numFmtId="0" fontId="4" fillId="0" borderId="1" xfId="0" applyFont="1" applyBorder="1"/>
    <xf numFmtId="164" fontId="3" fillId="0" borderId="1" xfId="0" applyNumberFormat="1" applyFont="1" applyBorder="1"/>
    <xf numFmtId="0" fontId="3" fillId="0" borderId="1" xfId="0" applyFont="1" applyBorder="1"/>
    <xf numFmtId="164" fontId="4" fillId="0" borderId="1" xfId="0" applyNumberFormat="1" applyFont="1" applyBorder="1"/>
    <xf numFmtId="165" fontId="4" fillId="0" borderId="1" xfId="0" applyNumberFormat="1" applyFont="1" applyBorder="1"/>
    <xf numFmtId="166" fontId="4" fillId="0" borderId="1" xfId="0" applyNumberFormat="1" applyFont="1" applyBorder="1"/>
    <xf numFmtId="0" fontId="1" fillId="0" borderId="0" xfId="0" applyFont="1"/>
    <xf numFmtId="0" fontId="2" fillId="0" borderId="0" xfId="0" applyFont="1"/>
    <xf numFmtId="2" fontId="3" fillId="0" borderId="0" xfId="0" applyNumberFormat="1" applyFont="1"/>
    <xf numFmtId="0" fontId="4" fillId="0" borderId="0" xfId="0" applyFont="1"/>
    <xf numFmtId="9" fontId="3" fillId="2" borderId="0" xfId="0" applyNumberFormat="1" applyFont="1" applyFill="1"/>
    <xf numFmtId="0" fontId="3" fillId="0" borderId="0" xfId="0" applyFont="1"/>
    <xf numFmtId="10" fontId="3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19"/>
  <sheetViews>
    <sheetView tabSelected="1" workbookViewId="0">
      <pane xSplit="2" ySplit="6" topLeftCell="C7" activePane="bottomRight" state="frozen"/>
      <selection pane="topRight"/>
      <selection pane="bottomLeft"/>
      <selection pane="bottomRight" activeCell="B2" sqref="B2"/>
    </sheetView>
  </sheetViews>
  <sheetFormatPr baseColWidth="10" defaultColWidth="8.83203125" defaultRowHeight="15" x14ac:dyDescent="0.2"/>
  <cols>
    <col min="1" max="1" width="10" customWidth="1"/>
    <col min="2" max="2" width="34" customWidth="1"/>
    <col min="3" max="31" width="13" customWidth="1"/>
  </cols>
  <sheetData>
    <row r="1" spans="1:31" ht="17" x14ac:dyDescent="0.2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</row>
    <row r="2" spans="1:31" x14ac:dyDescent="0.2">
      <c r="A2" s="2" t="s">
        <v>1</v>
      </c>
      <c r="B2" s="3" t="s">
        <v>60</v>
      </c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</row>
    <row r="3" spans="1:31" x14ac:dyDescent="0.2">
      <c r="A3" s="2" t="s">
        <v>4</v>
      </c>
      <c r="B3" s="4">
        <f>INDEX(Assumptions!$B$11:$B$14,MATCH($B$2,Assumptions!$A$11:$A$14,0))/10000</f>
        <v>0.01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</row>
    <row r="4" spans="1:31" x14ac:dyDescent="0.2">
      <c r="A4" s="2" t="s">
        <v>5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</row>
    <row r="5" spans="1:31" x14ac:dyDescent="0.2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</row>
    <row r="6" spans="1:31" ht="32" customHeight="1" x14ac:dyDescent="0.2">
      <c r="A6" s="5" t="s">
        <v>6</v>
      </c>
      <c r="B6" s="5" t="s">
        <v>7</v>
      </c>
      <c r="C6" s="5" t="s">
        <v>8</v>
      </c>
      <c r="D6" s="5" t="s">
        <v>9</v>
      </c>
      <c r="E6" s="5" t="s">
        <v>10</v>
      </c>
      <c r="F6" s="5" t="s">
        <v>11</v>
      </c>
      <c r="G6" s="5" t="s">
        <v>12</v>
      </c>
      <c r="H6" s="5" t="s">
        <v>13</v>
      </c>
      <c r="I6" s="5" t="s">
        <v>14</v>
      </c>
      <c r="J6" s="5" t="s">
        <v>15</v>
      </c>
      <c r="K6" s="5" t="s">
        <v>16</v>
      </c>
      <c r="L6" s="5" t="s">
        <v>17</v>
      </c>
      <c r="M6" s="5" t="s">
        <v>18</v>
      </c>
      <c r="N6" s="5" t="s">
        <v>19</v>
      </c>
      <c r="O6" s="5" t="s">
        <v>20</v>
      </c>
      <c r="P6" s="5" t="s">
        <v>21</v>
      </c>
      <c r="Q6" s="5" t="s">
        <v>22</v>
      </c>
      <c r="R6" s="5" t="s">
        <v>23</v>
      </c>
      <c r="S6" s="5" t="s">
        <v>24</v>
      </c>
      <c r="T6" s="5" t="s">
        <v>25</v>
      </c>
      <c r="U6" s="5" t="s">
        <v>26</v>
      </c>
      <c r="V6" s="5" t="s">
        <v>27</v>
      </c>
      <c r="W6" s="5" t="s">
        <v>28</v>
      </c>
      <c r="X6" s="5" t="s">
        <v>29</v>
      </c>
      <c r="Y6" s="5" t="s">
        <v>30</v>
      </c>
      <c r="Z6" s="5" t="s">
        <v>31</v>
      </c>
      <c r="AA6" s="5" t="s">
        <v>32</v>
      </c>
      <c r="AB6" s="5" t="s">
        <v>33</v>
      </c>
      <c r="AC6" s="5" t="s">
        <v>34</v>
      </c>
      <c r="AD6" s="5" t="s">
        <v>35</v>
      </c>
      <c r="AE6" s="5" t="s">
        <v>36</v>
      </c>
    </row>
    <row r="7" spans="1:31" x14ac:dyDescent="0.2">
      <c r="A7" s="6">
        <v>1</v>
      </c>
      <c r="B7" s="6" t="s">
        <v>37</v>
      </c>
      <c r="C7" s="7">
        <v>465233</v>
      </c>
      <c r="D7" s="7">
        <v>2875861</v>
      </c>
      <c r="E7" s="7">
        <v>4260043</v>
      </c>
      <c r="F7" s="8">
        <v>1</v>
      </c>
      <c r="G7" s="7">
        <v>-175753</v>
      </c>
      <c r="H7" s="7">
        <v>0</v>
      </c>
      <c r="I7" s="9">
        <f>C7+(G7+H7*F7)*(1-Assumptions!$B$7)</f>
        <v>326388.13</v>
      </c>
      <c r="J7" s="9">
        <f t="shared" ref="J7:J16" si="0">IF(AND(ISNUMBER(D7),D7&gt;0),D7,E7)</f>
        <v>2875861</v>
      </c>
      <c r="K7" s="10">
        <f t="shared" ref="K7:K16" si="1">IF(J7&gt;0,I7/J7,0)</f>
        <v>0.11349231760505811</v>
      </c>
      <c r="L7" s="9">
        <f>-$B$3*(SUMPRODUCT(R7:W7,Assumptions!$B$4:$G$4)+IF($B$3&lt;0,Assumptions!$B$8,1)*SUMPRODUCT(X7:AE7,Assumptions!$H$4:$O$4))</f>
        <v>-70890.100710000013</v>
      </c>
      <c r="M7" s="9">
        <f>L7*(1-Assumptions!$B$7)</f>
        <v>-56003.179560900011</v>
      </c>
      <c r="N7" s="9">
        <f t="shared" ref="N7:N16" si="2">I7+M7</f>
        <v>270384.95043909998</v>
      </c>
      <c r="O7" s="10">
        <f t="shared" ref="O7:O16" si="3">IF(J7&gt;0,N7/J7,0)</f>
        <v>9.401878270163265E-2</v>
      </c>
      <c r="P7" s="11">
        <f t="shared" ref="P7:P16" si="4">(O7-K7)*100</f>
        <v>-1.947353490342546</v>
      </c>
      <c r="Q7" s="6" t="str">
        <f t="shared" ref="Q7:Q16" si="5">IF(O7&lt;IF(AND(ISNUMBER(D7),D7&gt;0),0.06,0.05),"YES","no")</f>
        <v>no</v>
      </c>
      <c r="R7" s="7">
        <v>16786</v>
      </c>
      <c r="S7" s="7">
        <v>62864</v>
      </c>
      <c r="T7" s="7">
        <v>70446</v>
      </c>
      <c r="U7" s="7">
        <v>86210</v>
      </c>
      <c r="V7" s="7">
        <v>178115</v>
      </c>
      <c r="W7" s="7">
        <v>51137</v>
      </c>
      <c r="X7" s="7">
        <v>4</v>
      </c>
      <c r="Y7" s="7">
        <v>98</v>
      </c>
      <c r="Z7" s="7">
        <v>4238</v>
      </c>
      <c r="AA7" s="7">
        <v>8233</v>
      </c>
      <c r="AB7" s="7">
        <v>104134</v>
      </c>
      <c r="AC7" s="7">
        <v>595101</v>
      </c>
      <c r="AD7" s="7">
        <v>21275</v>
      </c>
      <c r="AE7" s="7">
        <v>91736</v>
      </c>
    </row>
    <row r="8" spans="1:31" x14ac:dyDescent="0.2">
      <c r="A8" s="6">
        <v>2</v>
      </c>
      <c r="B8" s="6" t="s">
        <v>38</v>
      </c>
      <c r="C8" s="7">
        <v>266733</v>
      </c>
      <c r="D8" s="7">
        <v>2212420</v>
      </c>
      <c r="E8" s="7">
        <v>2949812</v>
      </c>
      <c r="F8" s="8">
        <v>1</v>
      </c>
      <c r="G8" s="7">
        <v>-137</v>
      </c>
      <c r="H8" s="7">
        <v>-66682</v>
      </c>
      <c r="I8" s="9">
        <f>C8+(G8+H8*F8)*(1-Assumptions!$B$7)</f>
        <v>213945.99</v>
      </c>
      <c r="J8" s="9">
        <f t="shared" si="0"/>
        <v>2212420</v>
      </c>
      <c r="K8" s="10">
        <f t="shared" si="1"/>
        <v>9.6702249120872164E-2</v>
      </c>
      <c r="L8" s="9">
        <f>-$B$3*(SUMPRODUCT(R8:W8,Assumptions!$B$4:$G$4)+IF($B$3&lt;0,Assumptions!$B$8,1)*SUMPRODUCT(X8:AE8,Assumptions!$H$4:$O$4))</f>
        <v>-46309.419950000003</v>
      </c>
      <c r="M8" s="9">
        <f>L8*(1-Assumptions!$B$7)</f>
        <v>-36584.441760500005</v>
      </c>
      <c r="N8" s="9">
        <f t="shared" si="2"/>
        <v>177361.54823949997</v>
      </c>
      <c r="O8" s="10">
        <f t="shared" si="3"/>
        <v>8.0166310302519403E-2</v>
      </c>
      <c r="P8" s="11">
        <f t="shared" si="4"/>
        <v>-1.653593881835276</v>
      </c>
      <c r="Q8" s="6" t="str">
        <f t="shared" si="5"/>
        <v>no</v>
      </c>
      <c r="R8" s="7">
        <v>81283</v>
      </c>
      <c r="S8" s="7">
        <v>3357</v>
      </c>
      <c r="T8" s="7">
        <v>55628</v>
      </c>
      <c r="U8" s="7">
        <v>32178</v>
      </c>
      <c r="V8" s="7">
        <v>140070</v>
      </c>
      <c r="W8" s="7">
        <v>176356</v>
      </c>
      <c r="X8" s="7">
        <v>60</v>
      </c>
      <c r="Y8" s="7">
        <v>14</v>
      </c>
      <c r="Z8" s="7">
        <v>799</v>
      </c>
      <c r="AA8" s="7">
        <v>2210</v>
      </c>
      <c r="AB8" s="7">
        <v>10735</v>
      </c>
      <c r="AC8" s="7">
        <v>14274</v>
      </c>
      <c r="AD8" s="7">
        <v>27951</v>
      </c>
      <c r="AE8" s="7">
        <v>174608</v>
      </c>
    </row>
    <row r="9" spans="1:31" x14ac:dyDescent="0.2">
      <c r="A9" s="6">
        <v>3</v>
      </c>
      <c r="B9" s="6" t="s">
        <v>39</v>
      </c>
      <c r="C9" s="7">
        <v>2164064</v>
      </c>
      <c r="D9" s="7">
        <v>20720245</v>
      </c>
      <c r="E9" s="7">
        <v>24732685</v>
      </c>
      <c r="F9" s="8">
        <v>1</v>
      </c>
      <c r="G9" s="7">
        <v>0</v>
      </c>
      <c r="H9" s="7">
        <v>-427082</v>
      </c>
      <c r="I9" s="9">
        <f>C9+(G9+H9*F9)*(1-Assumptions!$B$7)</f>
        <v>1826669.22</v>
      </c>
      <c r="J9" s="9">
        <f t="shared" si="0"/>
        <v>20720245</v>
      </c>
      <c r="K9" s="10">
        <f t="shared" si="1"/>
        <v>8.8158668973267448E-2</v>
      </c>
      <c r="L9" s="9">
        <f>-$B$3*(SUMPRODUCT(R9:W9,Assumptions!$B$4:$G$4)+IF($B$3&lt;0,Assumptions!$B$8,1)*SUMPRODUCT(X9:AE9,Assumptions!$H$4:$O$4))</f>
        <v>-183687.15390999999</v>
      </c>
      <c r="M9" s="9">
        <f>L9*(1-Assumptions!$B$7)</f>
        <v>-145112.8515889</v>
      </c>
      <c r="N9" s="9">
        <f t="shared" si="2"/>
        <v>1681556.3684111</v>
      </c>
      <c r="O9" s="10">
        <f t="shared" si="3"/>
        <v>8.1155235780807605E-2</v>
      </c>
      <c r="P9" s="11">
        <f t="shared" si="4"/>
        <v>-0.70034331924598425</v>
      </c>
      <c r="Q9" s="6" t="str">
        <f t="shared" si="5"/>
        <v>no</v>
      </c>
      <c r="R9" s="7">
        <v>490013</v>
      </c>
      <c r="S9" s="7">
        <v>53222</v>
      </c>
      <c r="T9" s="7">
        <v>7785</v>
      </c>
      <c r="U9" s="7">
        <v>28249</v>
      </c>
      <c r="V9" s="7">
        <v>268656</v>
      </c>
      <c r="W9" s="7">
        <v>609431</v>
      </c>
      <c r="X9" s="7">
        <v>2507</v>
      </c>
      <c r="Y9" s="7">
        <v>9</v>
      </c>
      <c r="Z9" s="7">
        <v>918</v>
      </c>
      <c r="AA9" s="7">
        <v>19104</v>
      </c>
      <c r="AB9" s="7">
        <v>992164</v>
      </c>
      <c r="AC9" s="7">
        <v>483584</v>
      </c>
      <c r="AD9" s="7">
        <v>124</v>
      </c>
      <c r="AE9" s="7">
        <v>121141</v>
      </c>
    </row>
    <row r="10" spans="1:31" x14ac:dyDescent="0.2">
      <c r="A10" s="6">
        <v>4</v>
      </c>
      <c r="B10" s="6" t="s">
        <v>40</v>
      </c>
      <c r="C10" s="7">
        <v>136836</v>
      </c>
      <c r="D10" s="7">
        <v>935505</v>
      </c>
      <c r="E10" s="7">
        <v>1473505</v>
      </c>
      <c r="F10" s="8">
        <v>1</v>
      </c>
      <c r="G10" s="7">
        <v>0</v>
      </c>
      <c r="H10" s="7">
        <v>-36882</v>
      </c>
      <c r="I10" s="9">
        <f>C10+(G10+H10*F10)*(1-Assumptions!$B$7)</f>
        <v>107699.22</v>
      </c>
      <c r="J10" s="9">
        <f t="shared" si="0"/>
        <v>935505</v>
      </c>
      <c r="K10" s="10">
        <f t="shared" si="1"/>
        <v>0.11512415219587283</v>
      </c>
      <c r="L10" s="9">
        <f>-$B$3*(SUMPRODUCT(R10:W10,Assumptions!$B$4:$G$4)+IF($B$3&lt;0,Assumptions!$B$8,1)*SUMPRODUCT(X10:AE10,Assumptions!$H$4:$O$4))</f>
        <v>-23121.705890000001</v>
      </c>
      <c r="M10" s="9">
        <f>L10*(1-Assumptions!$B$7)</f>
        <v>-18266.147653100001</v>
      </c>
      <c r="N10" s="9">
        <f t="shared" si="2"/>
        <v>89433.072346900008</v>
      </c>
      <c r="O10" s="10">
        <f t="shared" si="3"/>
        <v>9.559871122751884E-2</v>
      </c>
      <c r="P10" s="11">
        <f t="shared" si="4"/>
        <v>-1.9525440968353984</v>
      </c>
      <c r="Q10" s="6" t="str">
        <f t="shared" si="5"/>
        <v>no</v>
      </c>
      <c r="R10" s="7">
        <v>21529</v>
      </c>
      <c r="S10" s="7">
        <v>30852</v>
      </c>
      <c r="T10" s="7">
        <v>86847</v>
      </c>
      <c r="U10" s="7">
        <v>81377</v>
      </c>
      <c r="V10" s="7">
        <v>144730</v>
      </c>
      <c r="W10" s="7">
        <v>19950</v>
      </c>
      <c r="X10" s="7">
        <v>0</v>
      </c>
      <c r="Y10" s="7">
        <v>0</v>
      </c>
      <c r="Z10" s="7">
        <v>0</v>
      </c>
      <c r="AA10" s="7">
        <v>0</v>
      </c>
      <c r="AB10" s="7">
        <v>0</v>
      </c>
      <c r="AC10" s="7">
        <v>0</v>
      </c>
      <c r="AD10" s="7">
        <v>0</v>
      </c>
      <c r="AE10" s="7">
        <v>90774</v>
      </c>
    </row>
    <row r="11" spans="1:31" x14ac:dyDescent="0.2">
      <c r="A11" s="6">
        <v>5</v>
      </c>
      <c r="B11" s="6" t="s">
        <v>41</v>
      </c>
      <c r="C11" s="7">
        <v>85069</v>
      </c>
      <c r="D11" s="7">
        <v>802053</v>
      </c>
      <c r="E11" s="7">
        <v>1186904</v>
      </c>
      <c r="F11" s="8">
        <v>1</v>
      </c>
      <c r="G11" s="7">
        <v>0</v>
      </c>
      <c r="H11" s="7">
        <v>-18225</v>
      </c>
      <c r="I11" s="9">
        <f>C11+(G11+H11*F11)*(1-Assumptions!$B$7)</f>
        <v>70671.25</v>
      </c>
      <c r="J11" s="9">
        <f t="shared" si="0"/>
        <v>802053</v>
      </c>
      <c r="K11" s="10">
        <f t="shared" si="1"/>
        <v>8.8112942660896476E-2</v>
      </c>
      <c r="L11" s="9">
        <f>-$B$3*(SUMPRODUCT(R11:W11,Assumptions!$B$4:$G$4)+IF($B$3&lt;0,Assumptions!$B$8,1)*SUMPRODUCT(X11:AE11,Assumptions!$H$4:$O$4))</f>
        <v>-8289.6779800000004</v>
      </c>
      <c r="M11" s="9">
        <f>L11*(1-Assumptions!$B$7)</f>
        <v>-6548.8456042000007</v>
      </c>
      <c r="N11" s="9">
        <f t="shared" si="2"/>
        <v>64122.404395799997</v>
      </c>
      <c r="O11" s="10">
        <f t="shared" si="3"/>
        <v>7.9947839352012898E-2</v>
      </c>
      <c r="P11" s="11">
        <f t="shared" si="4"/>
        <v>-0.81651033088835789</v>
      </c>
      <c r="Q11" s="6" t="str">
        <f t="shared" si="5"/>
        <v>no</v>
      </c>
      <c r="R11" s="7">
        <v>3433</v>
      </c>
      <c r="S11" s="7">
        <v>866</v>
      </c>
      <c r="T11" s="7">
        <v>2131</v>
      </c>
      <c r="U11" s="7">
        <v>504</v>
      </c>
      <c r="V11" s="7">
        <v>11162</v>
      </c>
      <c r="W11" s="7">
        <v>4909</v>
      </c>
      <c r="X11" s="7">
        <v>0</v>
      </c>
      <c r="Y11" s="7">
        <v>0</v>
      </c>
      <c r="Z11" s="7">
        <v>0</v>
      </c>
      <c r="AA11" s="7">
        <v>0</v>
      </c>
      <c r="AB11" s="7">
        <v>0</v>
      </c>
      <c r="AC11" s="7">
        <v>111380</v>
      </c>
      <c r="AD11" s="7">
        <v>0</v>
      </c>
      <c r="AE11" s="7">
        <v>0</v>
      </c>
    </row>
    <row r="12" spans="1:31" x14ac:dyDescent="0.2">
      <c r="A12" s="6">
        <v>6</v>
      </c>
      <c r="B12" s="6" t="s">
        <v>42</v>
      </c>
      <c r="C12" s="7">
        <v>286121</v>
      </c>
      <c r="D12" s="7">
        <v>2504395</v>
      </c>
      <c r="E12" s="7">
        <v>3037564</v>
      </c>
      <c r="F12" s="8">
        <v>1</v>
      </c>
      <c r="G12" s="7">
        <v>0</v>
      </c>
      <c r="H12" s="7">
        <v>-61578</v>
      </c>
      <c r="I12" s="9">
        <f>C12+(G12+H12*F12)*(1-Assumptions!$B$7)</f>
        <v>237474.38</v>
      </c>
      <c r="J12" s="9">
        <f t="shared" si="0"/>
        <v>2504395</v>
      </c>
      <c r="K12" s="10">
        <f t="shared" si="1"/>
        <v>9.4823053072698199E-2</v>
      </c>
      <c r="L12" s="9">
        <f>-$B$3*(SUMPRODUCT(R12:W12,Assumptions!$B$4:$G$4)+IF($B$3&lt;0,Assumptions!$B$8,1)*SUMPRODUCT(X12:AE12,Assumptions!$H$4:$O$4))</f>
        <v>-27993.728629999998</v>
      </c>
      <c r="M12" s="9">
        <f>L12*(1-Assumptions!$B$7)</f>
        <v>-22115.045617699998</v>
      </c>
      <c r="N12" s="9">
        <f t="shared" si="2"/>
        <v>215359.3343823</v>
      </c>
      <c r="O12" s="10">
        <f t="shared" si="3"/>
        <v>8.5992558834488975E-2</v>
      </c>
      <c r="P12" s="11">
        <f t="shared" si="4"/>
        <v>-0.88304942382092244</v>
      </c>
      <c r="Q12" s="6" t="str">
        <f t="shared" si="5"/>
        <v>no</v>
      </c>
      <c r="R12" s="7">
        <v>820</v>
      </c>
      <c r="S12" s="7">
        <v>33614</v>
      </c>
      <c r="T12" s="7">
        <v>50645</v>
      </c>
      <c r="U12" s="7">
        <v>47584</v>
      </c>
      <c r="V12" s="7">
        <v>29830</v>
      </c>
      <c r="W12" s="7">
        <v>75086</v>
      </c>
      <c r="X12" s="7">
        <v>0</v>
      </c>
      <c r="Y12" s="7">
        <v>0</v>
      </c>
      <c r="Z12" s="7">
        <v>0</v>
      </c>
      <c r="AA12" s="7">
        <v>0</v>
      </c>
      <c r="AB12" s="7">
        <v>42495</v>
      </c>
      <c r="AC12" s="7">
        <v>28800</v>
      </c>
      <c r="AD12" s="7">
        <v>8274</v>
      </c>
      <c r="AE12" s="7">
        <v>206356</v>
      </c>
    </row>
    <row r="13" spans="1:31" x14ac:dyDescent="0.2">
      <c r="A13" s="6">
        <v>7</v>
      </c>
      <c r="B13" s="6" t="s">
        <v>43</v>
      </c>
      <c r="C13" s="7">
        <v>130847</v>
      </c>
      <c r="D13" s="7">
        <v>1021365</v>
      </c>
      <c r="E13" s="7">
        <v>1558133</v>
      </c>
      <c r="F13" s="8">
        <v>1</v>
      </c>
      <c r="G13" s="7">
        <v>0</v>
      </c>
      <c r="H13" s="7">
        <v>-34738</v>
      </c>
      <c r="I13" s="9">
        <f>C13+(G13+H13*F13)*(1-Assumptions!$B$7)</f>
        <v>103403.98</v>
      </c>
      <c r="J13" s="9">
        <f t="shared" si="0"/>
        <v>1021365</v>
      </c>
      <c r="K13" s="10">
        <f t="shared" si="1"/>
        <v>0.10124096674548276</v>
      </c>
      <c r="L13" s="9">
        <f>-$B$3*(SUMPRODUCT(R13:W13,Assumptions!$B$4:$G$4)+IF($B$3&lt;0,Assumptions!$B$8,1)*SUMPRODUCT(X13:AE13,Assumptions!$H$4:$O$4))</f>
        <v>-18649.22755</v>
      </c>
      <c r="M13" s="9">
        <f>L13*(1-Assumptions!$B$7)</f>
        <v>-14732.8897645</v>
      </c>
      <c r="N13" s="9">
        <f t="shared" si="2"/>
        <v>88671.0902355</v>
      </c>
      <c r="O13" s="10">
        <f t="shared" si="3"/>
        <v>8.6816260823016259E-2</v>
      </c>
      <c r="P13" s="11">
        <f t="shared" si="4"/>
        <v>-1.4424705922466501</v>
      </c>
      <c r="Q13" s="6" t="str">
        <f t="shared" si="5"/>
        <v>no</v>
      </c>
      <c r="R13" s="7">
        <v>2774</v>
      </c>
      <c r="S13" s="7">
        <v>507</v>
      </c>
      <c r="T13" s="7">
        <v>17675</v>
      </c>
      <c r="U13" s="7">
        <v>9110</v>
      </c>
      <c r="V13" s="7">
        <v>16082</v>
      </c>
      <c r="W13" s="7">
        <v>41558</v>
      </c>
      <c r="X13" s="7">
        <v>0</v>
      </c>
      <c r="Y13" s="7">
        <v>0</v>
      </c>
      <c r="Z13" s="7">
        <v>0</v>
      </c>
      <c r="AA13" s="7">
        <v>0</v>
      </c>
      <c r="AB13" s="7">
        <v>23175</v>
      </c>
      <c r="AC13" s="7">
        <v>125976</v>
      </c>
      <c r="AD13" s="7">
        <v>12897</v>
      </c>
      <c r="AE13" s="7">
        <v>56014</v>
      </c>
    </row>
    <row r="14" spans="1:31" x14ac:dyDescent="0.2">
      <c r="A14" s="6">
        <v>8</v>
      </c>
      <c r="B14" s="6" t="s">
        <v>44</v>
      </c>
      <c r="C14" s="7">
        <v>2183260</v>
      </c>
      <c r="D14" s="7">
        <v>16498440</v>
      </c>
      <c r="E14" s="7">
        <v>23648513</v>
      </c>
      <c r="F14" s="8">
        <v>1</v>
      </c>
      <c r="G14" s="7">
        <v>-376209</v>
      </c>
      <c r="H14" s="7">
        <v>-181138</v>
      </c>
      <c r="I14" s="9">
        <f>C14+(G14+H14*F14)*(1-Assumptions!$B$7)</f>
        <v>1742955.87</v>
      </c>
      <c r="J14" s="9">
        <f t="shared" si="0"/>
        <v>16498440</v>
      </c>
      <c r="K14" s="10">
        <f t="shared" si="1"/>
        <v>0.10564367722039175</v>
      </c>
      <c r="L14" s="9">
        <f>-$B$3*(SUMPRODUCT(R14:W14,Assumptions!$B$4:$G$4)+IF($B$3&lt;0,Assumptions!$B$8,1)*SUMPRODUCT(X14:AE14,Assumptions!$H$4:$O$4))</f>
        <v>-261305.00173000002</v>
      </c>
      <c r="M14" s="9">
        <f>L14*(1-Assumptions!$B$7)</f>
        <v>-206430.95136670003</v>
      </c>
      <c r="N14" s="9">
        <f t="shared" si="2"/>
        <v>1536524.9186333001</v>
      </c>
      <c r="O14" s="10">
        <f t="shared" si="3"/>
        <v>9.3131527504012504E-2</v>
      </c>
      <c r="P14" s="11">
        <f t="shared" si="4"/>
        <v>-1.2512149716379248</v>
      </c>
      <c r="Q14" s="6" t="str">
        <f t="shared" si="5"/>
        <v>no</v>
      </c>
      <c r="R14" s="7">
        <v>44376</v>
      </c>
      <c r="S14" s="7">
        <v>0</v>
      </c>
      <c r="T14" s="7">
        <v>15320</v>
      </c>
      <c r="U14" s="7">
        <v>46658</v>
      </c>
      <c r="V14" s="7">
        <v>409813</v>
      </c>
      <c r="W14" s="7">
        <v>185465</v>
      </c>
      <c r="X14" s="7">
        <v>13412</v>
      </c>
      <c r="Y14" s="7">
        <v>603</v>
      </c>
      <c r="Z14" s="7">
        <v>0</v>
      </c>
      <c r="AA14" s="7">
        <v>0</v>
      </c>
      <c r="AB14" s="7">
        <v>591456</v>
      </c>
      <c r="AC14" s="7">
        <v>404122</v>
      </c>
      <c r="AD14" s="7">
        <v>643409</v>
      </c>
      <c r="AE14" s="7">
        <v>3151749</v>
      </c>
    </row>
    <row r="15" spans="1:31" x14ac:dyDescent="0.2">
      <c r="A15" s="6">
        <v>9</v>
      </c>
      <c r="B15" s="6" t="s">
        <v>45</v>
      </c>
      <c r="C15" s="7">
        <v>350710</v>
      </c>
      <c r="D15" s="7"/>
      <c r="E15" s="7">
        <v>3826419</v>
      </c>
      <c r="F15" s="8">
        <v>1</v>
      </c>
      <c r="G15" s="7">
        <v>-223853</v>
      </c>
      <c r="H15" s="7">
        <v>-29847</v>
      </c>
      <c r="I15" s="9">
        <f>C15+(G15+H15*F15)*(1-Assumptions!$B$7)</f>
        <v>150287</v>
      </c>
      <c r="J15" s="9">
        <f t="shared" si="0"/>
        <v>3826419</v>
      </c>
      <c r="K15" s="10">
        <f t="shared" si="1"/>
        <v>3.9276148273359505E-2</v>
      </c>
      <c r="L15" s="9">
        <f>-$B$3*(SUMPRODUCT(R15:W15,Assumptions!$B$4:$G$4)+IF($B$3&lt;0,Assumptions!$B$8,1)*SUMPRODUCT(X15:AE15,Assumptions!$H$4:$O$4))</f>
        <v>-96911.595920000007</v>
      </c>
      <c r="M15" s="9">
        <f>L15*(1-Assumptions!$B$7)</f>
        <v>-76560.16077680001</v>
      </c>
      <c r="N15" s="9">
        <f t="shared" si="2"/>
        <v>73726.83922319999</v>
      </c>
      <c r="O15" s="10">
        <f t="shared" si="3"/>
        <v>1.9267842654764153E-2</v>
      </c>
      <c r="P15" s="11">
        <f t="shared" si="4"/>
        <v>-2.0008305618595355</v>
      </c>
      <c r="Q15" s="6" t="str">
        <f t="shared" si="5"/>
        <v>YES</v>
      </c>
      <c r="R15" s="7">
        <v>104120</v>
      </c>
      <c r="S15" s="7">
        <v>14044</v>
      </c>
      <c r="T15" s="7">
        <v>22607</v>
      </c>
      <c r="U15" s="7">
        <v>35812</v>
      </c>
      <c r="V15" s="7">
        <v>599243</v>
      </c>
      <c r="W15" s="7">
        <v>209051</v>
      </c>
      <c r="X15" s="7">
        <v>0</v>
      </c>
      <c r="Y15" s="7">
        <v>2</v>
      </c>
      <c r="Z15" s="7">
        <v>0</v>
      </c>
      <c r="AA15" s="7">
        <v>0</v>
      </c>
      <c r="AB15" s="7">
        <v>154</v>
      </c>
      <c r="AC15" s="7">
        <v>0</v>
      </c>
      <c r="AD15" s="7">
        <v>16602</v>
      </c>
      <c r="AE15" s="7">
        <v>431064</v>
      </c>
    </row>
    <row r="16" spans="1:31" x14ac:dyDescent="0.2">
      <c r="A16" s="6">
        <v>10</v>
      </c>
      <c r="B16" s="6" t="s">
        <v>46</v>
      </c>
      <c r="C16" s="7">
        <v>504338</v>
      </c>
      <c r="D16" s="7">
        <v>4101104</v>
      </c>
      <c r="E16" s="7">
        <v>5505445</v>
      </c>
      <c r="F16" s="8">
        <v>1</v>
      </c>
      <c r="G16" s="7">
        <v>0</v>
      </c>
      <c r="H16" s="7">
        <v>-252571</v>
      </c>
      <c r="I16" s="9">
        <f>C16+(G16+H16*F16)*(1-Assumptions!$B$7)</f>
        <v>304806.91000000003</v>
      </c>
      <c r="J16" s="9">
        <f t="shared" si="0"/>
        <v>4101104</v>
      </c>
      <c r="K16" s="10">
        <f t="shared" si="1"/>
        <v>7.4323135916572719E-2</v>
      </c>
      <c r="L16" s="9">
        <f>-$B$3*(SUMPRODUCT(R16:W16,Assumptions!$B$4:$G$4)+IF($B$3&lt;0,Assumptions!$B$8,1)*SUMPRODUCT(X16:AE16,Assumptions!$H$4:$O$4))</f>
        <v>-101312.32910000002</v>
      </c>
      <c r="M16" s="9">
        <f>L16*(1-Assumptions!$B$7)</f>
        <v>-80036.739989000023</v>
      </c>
      <c r="N16" s="9">
        <f t="shared" si="2"/>
        <v>224770.17001100001</v>
      </c>
      <c r="O16" s="10">
        <f t="shared" si="3"/>
        <v>5.4807234835059053E-2</v>
      </c>
      <c r="P16" s="11">
        <f t="shared" si="4"/>
        <v>-1.9515901081513667</v>
      </c>
      <c r="Q16" s="6" t="str">
        <f t="shared" si="5"/>
        <v>YES</v>
      </c>
      <c r="R16" s="7">
        <v>23953</v>
      </c>
      <c r="S16" s="7">
        <v>36171</v>
      </c>
      <c r="T16" s="7">
        <v>198602</v>
      </c>
      <c r="U16" s="7">
        <v>367307</v>
      </c>
      <c r="V16" s="7">
        <v>972448</v>
      </c>
      <c r="W16" s="7">
        <v>1456</v>
      </c>
      <c r="X16" s="7">
        <v>0</v>
      </c>
      <c r="Y16" s="7">
        <v>0</v>
      </c>
      <c r="Z16" s="7">
        <v>0</v>
      </c>
      <c r="AA16" s="7">
        <v>341</v>
      </c>
      <c r="AB16" s="7">
        <v>47450</v>
      </c>
      <c r="AC16" s="7">
        <v>5624</v>
      </c>
      <c r="AD16" s="7">
        <v>8448</v>
      </c>
      <c r="AE16" s="7">
        <v>71046</v>
      </c>
    </row>
    <row r="17" spans="1:31" x14ac:dyDescent="0.2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</row>
    <row r="18" spans="1:31" x14ac:dyDescent="0.2">
      <c r="A18" s="2" t="s">
        <v>47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</row>
    <row r="19" spans="1:31" x14ac:dyDescent="0.2">
      <c r="A19" s="2" t="s">
        <v>48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</row>
  </sheetData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xr:uid="{00000000-0002-0000-0000-000000000000}">
          <x14:formula1>
            <xm:f>Assumptions!$A$11:$A$14</xm:f>
          </x14:formula1>
          <xm:sqref>B2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24"/>
  <sheetViews>
    <sheetView workbookViewId="0"/>
  </sheetViews>
  <sheetFormatPr baseColWidth="10" defaultColWidth="8.83203125" defaultRowHeight="15" x14ac:dyDescent="0.2"/>
  <cols>
    <col min="1" max="1" width="24" customWidth="1"/>
    <col min="2" max="15" width="11" customWidth="1"/>
  </cols>
  <sheetData>
    <row r="1" spans="1:15" ht="16" x14ac:dyDescent="0.2">
      <c r="A1" s="12" t="s">
        <v>49</v>
      </c>
    </row>
    <row r="3" spans="1:15" x14ac:dyDescent="0.2">
      <c r="A3" t="s">
        <v>50</v>
      </c>
      <c r="B3" s="13" t="s">
        <v>23</v>
      </c>
      <c r="C3" s="13" t="s">
        <v>24</v>
      </c>
      <c r="D3" s="13" t="s">
        <v>25</v>
      </c>
      <c r="E3" s="13" t="s">
        <v>26</v>
      </c>
      <c r="F3" s="13" t="s">
        <v>27</v>
      </c>
      <c r="G3" s="13" t="s">
        <v>28</v>
      </c>
      <c r="H3" s="13" t="s">
        <v>29</v>
      </c>
      <c r="I3" s="13" t="s">
        <v>30</v>
      </c>
      <c r="J3" s="13" t="s">
        <v>31</v>
      </c>
      <c r="K3" s="13" t="s">
        <v>32</v>
      </c>
      <c r="L3" s="13" t="s">
        <v>33</v>
      </c>
      <c r="M3" s="13" t="s">
        <v>34</v>
      </c>
      <c r="N3" s="13" t="s">
        <v>35</v>
      </c>
      <c r="O3" s="13" t="s">
        <v>36</v>
      </c>
    </row>
    <row r="4" spans="1:15" x14ac:dyDescent="0.2">
      <c r="A4" t="s">
        <v>51</v>
      </c>
      <c r="B4" s="14">
        <v>0.49099999999999999</v>
      </c>
      <c r="C4" s="14">
        <v>0.49</v>
      </c>
      <c r="D4" s="14">
        <v>1.901</v>
      </c>
      <c r="E4" s="14">
        <v>3.649</v>
      </c>
      <c r="F4" s="14">
        <v>8.0050000000000008</v>
      </c>
      <c r="G4" s="14">
        <v>12.901999999999999</v>
      </c>
      <c r="H4" s="14">
        <v>0.1</v>
      </c>
      <c r="I4" s="14">
        <v>0.5</v>
      </c>
      <c r="J4" s="14">
        <v>1.7</v>
      </c>
      <c r="K4" s="14">
        <v>3</v>
      </c>
      <c r="L4" s="14">
        <v>4.5</v>
      </c>
      <c r="M4" s="14">
        <v>6</v>
      </c>
      <c r="N4" s="14">
        <v>1.5</v>
      </c>
      <c r="O4" s="14">
        <v>4.5</v>
      </c>
    </row>
    <row r="5" spans="1:15" x14ac:dyDescent="0.2">
      <c r="A5" t="s">
        <v>52</v>
      </c>
      <c r="B5" s="15" t="s">
        <v>53</v>
      </c>
      <c r="C5" s="15" t="s">
        <v>53</v>
      </c>
      <c r="D5" s="15" t="s">
        <v>53</v>
      </c>
      <c r="E5" s="15" t="s">
        <v>53</v>
      </c>
      <c r="F5" s="15" t="s">
        <v>53</v>
      </c>
      <c r="G5" s="15" t="s">
        <v>53</v>
      </c>
      <c r="H5" s="15" t="s">
        <v>54</v>
      </c>
      <c r="I5" s="15" t="s">
        <v>54</v>
      </c>
      <c r="J5" s="15" t="s">
        <v>54</v>
      </c>
      <c r="K5" s="15" t="s">
        <v>54</v>
      </c>
      <c r="L5" s="15" t="s">
        <v>54</v>
      </c>
      <c r="M5" s="15" t="s">
        <v>54</v>
      </c>
      <c r="N5" s="15" t="s">
        <v>54</v>
      </c>
      <c r="O5" s="15" t="s">
        <v>54</v>
      </c>
    </row>
    <row r="7" spans="1:15" x14ac:dyDescent="0.2">
      <c r="A7" t="s">
        <v>55</v>
      </c>
      <c r="B7" s="16">
        <v>0.21</v>
      </c>
    </row>
    <row r="8" spans="1:15" x14ac:dyDescent="0.2">
      <c r="A8" t="s">
        <v>56</v>
      </c>
      <c r="B8" s="16">
        <v>0.6</v>
      </c>
      <c r="C8" t="s">
        <v>57</v>
      </c>
    </row>
    <row r="10" spans="1:15" x14ac:dyDescent="0.2">
      <c r="A10" s="13" t="s">
        <v>1</v>
      </c>
      <c r="B10" s="13" t="s">
        <v>58</v>
      </c>
    </row>
    <row r="11" spans="1:15" x14ac:dyDescent="0.2">
      <c r="A11" t="s">
        <v>59</v>
      </c>
      <c r="B11" s="17">
        <v>0</v>
      </c>
    </row>
    <row r="12" spans="1:15" x14ac:dyDescent="0.2">
      <c r="A12" t="s">
        <v>60</v>
      </c>
      <c r="B12" s="17">
        <v>100</v>
      </c>
    </row>
    <row r="13" spans="1:15" x14ac:dyDescent="0.2">
      <c r="A13" t="s">
        <v>2</v>
      </c>
      <c r="B13" s="17">
        <v>200</v>
      </c>
    </row>
    <row r="14" spans="1:15" x14ac:dyDescent="0.2">
      <c r="A14" t="s">
        <v>61</v>
      </c>
      <c r="B14" s="17">
        <v>-100</v>
      </c>
    </row>
    <row r="17" spans="1:2" x14ac:dyDescent="0.2">
      <c r="A17" s="13" t="s">
        <v>62</v>
      </c>
    </row>
    <row r="18" spans="1:2" x14ac:dyDescent="0.2">
      <c r="A18" t="s">
        <v>63</v>
      </c>
      <c r="B18" s="18">
        <v>3.8699999999999998E-2</v>
      </c>
    </row>
    <row r="19" spans="1:2" x14ac:dyDescent="0.2">
      <c r="A19" t="s">
        <v>64</v>
      </c>
      <c r="B19" s="18">
        <v>3.9800000000000002E-2</v>
      </c>
    </row>
    <row r="20" spans="1:2" x14ac:dyDescent="0.2">
      <c r="A20" t="s">
        <v>65</v>
      </c>
      <c r="B20" s="18">
        <v>4.1399999999999999E-2</v>
      </c>
    </row>
    <row r="21" spans="1:2" x14ac:dyDescent="0.2">
      <c r="A21" t="s">
        <v>66</v>
      </c>
      <c r="B21" s="18">
        <v>4.1900000000000007E-2</v>
      </c>
    </row>
    <row r="22" spans="1:2" x14ac:dyDescent="0.2">
      <c r="A22" t="s">
        <v>67</v>
      </c>
      <c r="B22" s="18">
        <v>4.4400000000000002E-2</v>
      </c>
    </row>
    <row r="23" spans="1:2" x14ac:dyDescent="0.2">
      <c r="A23" t="s">
        <v>68</v>
      </c>
      <c r="B23" s="18">
        <v>4.9099999999999998E-2</v>
      </c>
    </row>
    <row r="24" spans="1:2" x14ac:dyDescent="0.2">
      <c r="A24" t="s">
        <v>69</v>
      </c>
    </row>
  </sheetData>
  <pageMargins left="0.75" right="0.75" top="1" bottom="1" header="0.5" footer="0.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Model</vt:lpstr>
      <vt:lpstr>Assumptions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Dhairya Shah</cp:lastModifiedBy>
  <dcterms:created xsi:type="dcterms:W3CDTF">2026-10-23T21:33:15Z</dcterms:created>
  <dcterms:modified xsi:type="dcterms:W3CDTF">2026-10-23T21:46:50Z</dcterms:modified>
</cp:coreProperties>
</file>